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ble (Abdullah)" sheetId="2" state="visible" r:id="rId4"/>
    <sheet name="Queries (Anee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<sst xmlns="http://schemas.openxmlformats.org/spreadsheetml/2006/main" count="239" uniqueCount="117">
  <si>
    <t xml:space="preserve">SQE Assignment 3: Test Case Summary (TinyDB)</t>
  </si>
  <si>
    <t xml:space="preserve">Sheet</t>
  </si>
  <si>
    <t xml:space="preserve">Author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</si>
  <si>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</si>
  <si>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</si>
  <si>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</si>
  <si>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</si>
  <si>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</si>
  <si>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Pass %</t>
  </si>
  <si>
    <t xml:space="preserve">Table (Abdullah)</t>
  </si>
  <si>
    <t xml:space="preserve">Abdullah Jamal</t>
  </si>
  <si>
    <t xml:space="preserve">Queries (Anees)</t>
  </si>
  <si>
    <t xml:space="preserve">Muhammad Anees</t>
  </si>
  <si>
    <t xml:space="preserve">Notes:</t>
  </si>
  <si>
    <t xml:space="preserve">Test data for these cases is stored in sqe_tests/data/*.csv and read by pytest at run time.</t>
  </si>
  <si>
    <t xml:space="preserve">Edit only the Status (column K) and Actual Result (column J) cells in the module sheets; the totals above update automatically.</t>
  </si>
  <si>
    <t xml:space="preserve">Run: pytest sqe_tests/abdullah/test_table_csv.py sqe_tests/anees/test_queries_csv.py -v</t>
  </si>
  <si>
    <t xml:space="preserve">TC ID</t>
  </si>
  <si>
    <t xml:space="preserve">Module</t>
  </si>
  <si>
    <t xml:space="preserve">Function</t>
  </si>
  <si>
    <t xml:space="preserve">Technique</t>
  </si>
  <si>
    <t xml:space="preserve">Test Scenario</t>
  </si>
  <si>
    <t xml:space="preserve">Preconditions</t>
  </si>
  <si>
    <t xml:space="preserve">Test Data (CSV)</t>
  </si>
  <si>
    <t xml:space="preserve">Steps</t>
  </si>
  <si>
    <t xml:space="preserve">Expected Result</t>
  </si>
  <si>
    <t xml:space="preserve">Actual Result</t>
  </si>
  <si>
    <t xml:space="preserve">Status</t>
  </si>
  <si>
    <t xml:space="preserve">Automated Test</t>
  </si>
  <si>
    <t xml:space="preserve">TC-T-01</t>
  </si>
  <si>
    <t xml:space="preserve">Module 3: Table</t>
  </si>
  <si>
    <t xml:space="preserve">Table.insert()</t>
  </si>
  <si>
    <t xml:space="preserve">ECP</t>
  </si>
  <si>
    <t xml:space="preserve">Valid dict with one field</t>
  </si>
  <si>
    <t xml:space="preserve">Empty table on MemoryStorage</t>
  </si>
  <si>
    <t xml:space="preserve">table_insert_data.csv, row TC-T-01: {"name": "Ali"}</t>
  </si>
  <si>
    <t xml:space="preserve">1. Read row from CSV
2. Parse document with json.loads
3. Call table.insert(document)
4. Check returned ID / error</t>
  </si>
  <si>
    <t xml:space="preserve">Returns doc_id 1, document stored</t>
  </si>
  <si>
    <t xml:space="preserve">As expected</t>
  </si>
  <si>
    <t xml:space="preserve">sqe_tests/abdullah/test_table_csv.py::test_insert_from_csv[TC-T-01]</t>
  </si>
  <si>
    <t xml:space="preserve">TC-T-02</t>
  </si>
  <si>
    <t xml:space="preserve">BVA</t>
  </si>
  <si>
    <t xml:space="preserve">Empty dict (boundary)</t>
  </si>
  <si>
    <t xml:space="preserve">table_insert_data.csv, row TC-T-02: {}</t>
  </si>
  <si>
    <t xml:space="preserve">Returns doc_id 1, empty document stored</t>
  </si>
  <si>
    <t xml:space="preserve">sqe_tests/abdullah/test_table_csv.py::test_insert_from_csv[TC-T-02]</t>
  </si>
  <si>
    <t xml:space="preserve">TC-T-03</t>
  </si>
  <si>
    <t xml:space="preserve">Dict with nested field</t>
  </si>
  <si>
    <t xml:space="preserve">table_insert_data.csv, row TC-T-03: {"address": {"city": "Lahore"}}</t>
  </si>
  <si>
    <t xml:space="preserve">Returns doc_id 1, nested document stored</t>
  </si>
  <si>
    <t xml:space="preserve">sqe_tests/abdullah/test_table_csv.py::test_insert_from_csv[TC-T-03]</t>
  </si>
  <si>
    <t xml:space="preserve">TC-T-04</t>
  </si>
  <si>
    <t xml:space="preserve">ECP (invalid)</t>
  </si>
  <si>
    <t xml:space="preserve">List instead of dict</t>
  </si>
  <si>
    <t xml:space="preserve">table_insert_data.csv, row TC-T-04: [1, 2]</t>
  </si>
  <si>
    <t xml:space="preserve">ValueError raised, table stays empty</t>
  </si>
  <si>
    <t xml:space="preserve">sqe_tests/abdullah/test_table_csv.py::test_insert_from_csv[TC-T-04]</t>
  </si>
  <si>
    <t xml:space="preserve">TC-T-05</t>
  </si>
  <si>
    <t xml:space="preserve">String instead of dict</t>
  </si>
  <si>
    <t xml:space="preserve">table_insert_data.csv, row TC-T-05: "abc"</t>
  </si>
  <si>
    <t xml:space="preserve">sqe_tests/abdullah/test_table_csv.py::test_insert_from_csv[TC-T-05]</t>
  </si>
  <si>
    <t xml:space="preserve">TC-T-06</t>
  </si>
  <si>
    <t xml:space="preserve">Integer instead of dict</t>
  </si>
  <si>
    <t xml:space="preserve">table_insert_data.csv, row TC-T-06: 5</t>
  </si>
  <si>
    <t xml:space="preserve">sqe_tests/abdullah/test_table_csv.py::test_insert_from_csv[TC-T-06]</t>
  </si>
  <si>
    <t xml:space="preserve">TC-T-07</t>
  </si>
  <si>
    <t xml:space="preserve">None instead of dict</t>
  </si>
  <si>
    <t xml:space="preserve">table_insert_data.csv, row TC-T-07: null</t>
  </si>
  <si>
    <t xml:space="preserve">sqe_tests/abdullah/test_table_csv.py::test_insert_from_csv[TC-T-07]</t>
  </si>
  <si>
    <t xml:space="preserve">TC-Q-01</t>
  </si>
  <si>
    <t xml:space="preserve">Module 1: Queries</t>
  </si>
  <si>
    <t xml:space="preserve">Query (&gt;=)</t>
  </si>
  <si>
    <t xml:space="preserve">Below boundary for age &gt;= 18</t>
  </si>
  <si>
    <t xml:space="preserve">Query().age built from CSV operator</t>
  </si>
  <si>
    <t xml:space="preserve">query_age_data.csv, row TC-Q-01: operator=&gt;=, limit=18, age=17</t>
  </si>
  <si>
    <t xml:space="preserve">1. Read row from CSV
2. Build query Query().age &gt;= 18
3. Evaluate on {'age': 17}
4. Compare with expected</t>
  </si>
  <si>
    <t xml:space="preserve">False</t>
  </si>
  <si>
    <t xml:space="preserve">sqe_tests/anees/test_queries_csv.py::test_age_query_from_csv[TC-Q-01]</t>
  </si>
  <si>
    <t xml:space="preserve">TC-Q-02</t>
  </si>
  <si>
    <t xml:space="preserve">On boundary for age &gt;= 18</t>
  </si>
  <si>
    <t xml:space="preserve">query_age_data.csv, row TC-Q-02: operator=&gt;=, limit=18, age=18</t>
  </si>
  <si>
    <t xml:space="preserve">1. Read row from CSV
2. Build query Query().age &gt;= 18
3. Evaluate on {'age': 18}
4. Compare with expected</t>
  </si>
  <si>
    <t xml:space="preserve">True</t>
  </si>
  <si>
    <t xml:space="preserve">sqe_tests/anees/test_queries_csv.py::test_age_query_from_csv[TC-Q-02]</t>
  </si>
  <si>
    <t xml:space="preserve">TC-Q-03</t>
  </si>
  <si>
    <t xml:space="preserve">Above boundary for age &gt;= 18</t>
  </si>
  <si>
    <t xml:space="preserve">query_age_data.csv, row TC-Q-03: operator=&gt;=, limit=18, age=19</t>
  </si>
  <si>
    <t xml:space="preserve">1. Read row from CSV
2. Build query Query().age &gt;= 18
3. Evaluate on {'age': 19}
4. Compare with expected</t>
  </si>
  <si>
    <t xml:space="preserve">sqe_tests/anees/test_queries_csv.py::test_age_query_from_csv[TC-Q-03]</t>
  </si>
  <si>
    <t xml:space="preserve">TC-Q-04</t>
  </si>
  <si>
    <t xml:space="preserve">Query (&gt;)</t>
  </si>
  <si>
    <t xml:space="preserve">On boundary for age &gt; 18</t>
  </si>
  <si>
    <t xml:space="preserve">query_age_data.csv, row TC-Q-04: operator=&gt;, limit=18, age=18</t>
  </si>
  <si>
    <t xml:space="preserve">1. Read row from CSV
2. Build query Query().age &gt; 18
3. Evaluate on {'age': 18}
4. Compare with expected</t>
  </si>
  <si>
    <t xml:space="preserve">sqe_tests/anees/test_queries_csv.py::test_age_query_from_csv[TC-Q-04]</t>
  </si>
  <si>
    <t xml:space="preserve">TC-Q-05</t>
  </si>
  <si>
    <t xml:space="preserve">Above boundary for age &gt; 18</t>
  </si>
  <si>
    <t xml:space="preserve">query_age_data.csv, row TC-Q-05: operator=&gt;, limit=18, age=19</t>
  </si>
  <si>
    <t xml:space="preserve">1. Read row from CSV
2. Build query Query().age &gt; 18
3. Evaluate on {'age': 19}
4. Compare with expected</t>
  </si>
  <si>
    <t xml:space="preserve">sqe_tests/anees/test_queries_csv.py::test_age_query_from_csv[TC-Q-05]</t>
  </si>
  <si>
    <t xml:space="preserve">TC-Q-06</t>
  </si>
  <si>
    <t xml:space="preserve">Query (&lt;)</t>
  </si>
  <si>
    <t xml:space="preserve">On boundary for age &lt; 18</t>
  </si>
  <si>
    <t xml:space="preserve">query_age_data.csv, row TC-Q-06: operator=&lt;, limit=18, age=18</t>
  </si>
  <si>
    <t xml:space="preserve">1. Read row from CSV
2. Build query Query().age &lt; 18
3. Evaluate on {'age': 18}
4. Compare with expected</t>
  </si>
  <si>
    <t xml:space="preserve">sqe_tests/anees/test_queries_csv.py::test_age_query_from_csv[TC-Q-06]</t>
  </si>
  <si>
    <t xml:space="preserve">TC-Q-07</t>
  </si>
  <si>
    <t xml:space="preserve">Below boundary for age &lt; 18</t>
  </si>
  <si>
    <t xml:space="preserve">query_age_data.csv, row TC-Q-07: operator=&lt;, limit=18, age=17</t>
  </si>
  <si>
    <t xml:space="preserve">1. Read row from CSV
2. Build query Query().age &lt; 18
3. Evaluate on {'age': 17}
4. Compare with expected</t>
  </si>
  <si>
    <t xml:space="preserve">sqe_tests/anees/test_queries_csv.py::test_age_query_from_csv[TC-Q-07]</t>
  </si>
  <si>
    <t xml:space="preserve">TC-Q-08</t>
  </si>
  <si>
    <t xml:space="preserve">Query (==)</t>
  </si>
  <si>
    <t xml:space="preserve">Equal value for age == 18</t>
  </si>
  <si>
    <t xml:space="preserve">query_age_data.csv, row TC-Q-08: operator===, limit=18, age=18</t>
  </si>
  <si>
    <t xml:space="preserve">1. Read row from CSV
2. Build query Query().age == 18
3. Evaluate on {'age': 18}
4. Compare with expected</t>
  </si>
  <si>
    <t xml:space="preserve">sqe_tests/anees/test_queries_csv.py::test_age_query_from_csv[TC-Q-08]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</si>
</sst>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5" min="3" style="0" width="9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n">
        <f aca="false">COUNTA('Table (Abdullah)'!A:A)-1</f>
        <v>7</v>
      </c>
      <c r="D4" s="3" t="n">
        <f aca="false">COUNTIF('Table (Abdullah)'!K:K,"Pass")</f>
        <v>7</v>
      </c>
      <c r="E4" s="3" t="n">
        <f aca="false">COUNTIF('Table (Abdullah)'!K:K,"Fail")</f>
        <v>0</v>
      </c>
      <c r="F4" s="3" t="n">
        <f aca="false">COUNTIF('Table (Abdullah)'!K:K,"Blocked")</f>
        <v>0</v>
      </c>
      <c r="G4" s="3" t="n">
        <f aca="false">COUNTIF('Table (Abdullah)'!K:K,"Not Run")</f>
        <v>0</v>
      </c>
      <c r="H4" s="4" t="n">
        <f aca="false">IF(C4=0,0,D4/C4)</f>
        <v>1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n">
        <f aca="false">COUNTA('Queries (Anees)'!A:A)-1</f>
        <v>8</v>
      </c>
      <c r="D5" s="3" t="n">
        <f aca="false">COUNTIF('Queries (Anees)'!K:K,"Pass")</f>
        <v>8</v>
      </c>
      <c r="E5" s="3" t="n">
        <f aca="false">COUNTIF('Queries (Anees)'!K:K,"Fail")</f>
        <v>0</v>
      </c>
      <c r="F5" s="3" t="n">
        <f aca="false">COUNTIF('Queries (Anees)'!K:K,"Blocked")</f>
        <v>0</v>
      </c>
      <c r="G5" s="3" t="n">
        <f aca="false">COUNTIF('Queries (Anees)'!K:K,"Not Run")</f>
        <v>0</v>
      </c>
      <c r="H5" s="4" t="n">
        <f aca="false">IF(C5=0,0,D5/C5)</f>
        <v>1</v>
      </c>
    </row>
    <row r="6" customFormat="false" ht="15" hidden="false" customHeight="false" outlineLevel="0" collapsed="false">
      <c r="A6" s="5" t="s">
        <v>3</v>
      </c>
      <c r="B6" s="5"/>
      <c r="C6" s="5" t="n">
        <f aca="false">SUM(C4:C5)</f>
        <v>15</v>
      </c>
      <c r="D6" s="5" t="n">
        <f aca="false">SUM(D4:D5)</f>
        <v>15</v>
      </c>
      <c r="E6" s="5" t="n">
        <f aca="false">SUM(E4:E5)</f>
        <v>0</v>
      </c>
      <c r="F6" s="5" t="n">
        <f aca="false">SUM(F4:F5)</f>
        <v>0</v>
      </c>
      <c r="G6" s="5" t="n">
        <f aca="false">SUM(G4:G5)</f>
        <v>0</v>
      </c>
      <c r="H6" s="6" t="n">
        <f aca="false">IF(C6=0,0,D6/C6)</f>
        <v>1</v>
      </c>
    </row>
    <row r="8" customFormat="false" ht="15" hidden="false" customHeight="false" outlineLevel="0" collapsed="false">
      <c r="A8" s="7" t="s">
        <v>13</v>
      </c>
    </row>
    <row r="9" customFormat="false" ht="15" hidden="false" customHeight="false" outlineLevel="0" collapsed="false">
      <c r="A9" s="8" t="s">
        <v>14</v>
      </c>
    </row>
    <row r="10" customFormat="false" ht="15" hidden="false" customHeight="false" outlineLevel="0" collapsed="false">
      <c r="A10" s="8" t="s">
        <v>15</v>
      </c>
    </row>
    <row r="11" customFormat="false" ht="15" hidden="false" customHeight="false" outlineLevel="0" collapsed="false">
      <c r="A11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44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</v>
      </c>
    </row>
    <row r="2" customFormat="false" ht="46.25" hidden="false" customHeight="fals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1" t="s">
        <v>4</v>
      </c>
      <c r="L2" s="10" t="s">
        <v>39</v>
      </c>
      <c r="M2" s="10" t="s">
        <v>10</v>
      </c>
    </row>
    <row r="3" customFormat="false" ht="46.25" hidden="false" customHeight="false" outlineLevel="0" collapsed="false">
      <c r="A3" s="10" t="s">
        <v>40</v>
      </c>
      <c r="B3" s="10" t="s">
        <v>30</v>
      </c>
      <c r="C3" s="10" t="s">
        <v>31</v>
      </c>
      <c r="D3" s="10" t="s">
        <v>41</v>
      </c>
      <c r="E3" s="10" t="s">
        <v>42</v>
      </c>
      <c r="F3" s="10" t="s">
        <v>34</v>
      </c>
      <c r="G3" s="10" t="s">
        <v>43</v>
      </c>
      <c r="H3" s="10" t="s">
        <v>36</v>
      </c>
      <c r="I3" s="10" t="s">
        <v>44</v>
      </c>
      <c r="J3" s="10" t="s">
        <v>38</v>
      </c>
      <c r="K3" s="11" t="s">
        <v>4</v>
      </c>
      <c r="L3" s="10" t="s">
        <v>45</v>
      </c>
      <c r="M3" s="10" t="s">
        <v>10</v>
      </c>
    </row>
    <row r="4" customFormat="false" ht="46.25" hidden="false" customHeight="false" outlineLevel="0" collapsed="false">
      <c r="A4" s="10" t="s">
        <v>46</v>
      </c>
      <c r="B4" s="10" t="s">
        <v>30</v>
      </c>
      <c r="C4" s="10" t="s">
        <v>31</v>
      </c>
      <c r="D4" s="10" t="s">
        <v>32</v>
      </c>
      <c r="E4" s="10" t="s">
        <v>47</v>
      </c>
      <c r="F4" s="10" t="s">
        <v>34</v>
      </c>
      <c r="G4" s="10" t="s">
        <v>48</v>
      </c>
      <c r="H4" s="10" t="s">
        <v>36</v>
      </c>
      <c r="I4" s="10" t="s">
        <v>49</v>
      </c>
      <c r="J4" s="10" t="s">
        <v>38</v>
      </c>
      <c r="K4" s="11" t="s">
        <v>4</v>
      </c>
      <c r="L4" s="10" t="s">
        <v>50</v>
      </c>
      <c r="M4" s="10" t="s">
        <v>10</v>
      </c>
    </row>
    <row r="5" customFormat="false" ht="46.25" hidden="false" customHeight="false" outlineLevel="0" collapsed="false">
      <c r="A5" s="10" t="s">
        <v>51</v>
      </c>
      <c r="B5" s="10" t="s">
        <v>30</v>
      </c>
      <c r="C5" s="10" t="s">
        <v>31</v>
      </c>
      <c r="D5" s="10" t="s">
        <v>52</v>
      </c>
      <c r="E5" s="10" t="s">
        <v>53</v>
      </c>
      <c r="F5" s="10" t="s">
        <v>34</v>
      </c>
      <c r="G5" s="10" t="s">
        <v>54</v>
      </c>
      <c r="H5" s="10" t="s">
        <v>36</v>
      </c>
      <c r="I5" s="10" t="s">
        <v>55</v>
      </c>
      <c r="J5" s="10" t="s">
        <v>38</v>
      </c>
      <c r="K5" s="11" t="s">
        <v>4</v>
      </c>
      <c r="L5" s="10" t="s">
        <v>56</v>
      </c>
      <c r="M5" s="10" t="s">
        <v>10</v>
      </c>
    </row>
    <row r="6" customFormat="false" ht="46.25" hidden="false" customHeight="false" outlineLevel="0" collapsed="false">
      <c r="A6" s="10" t="s">
        <v>57</v>
      </c>
      <c r="B6" s="10" t="s">
        <v>30</v>
      </c>
      <c r="C6" s="10" t="s">
        <v>31</v>
      </c>
      <c r="D6" s="10" t="s">
        <v>52</v>
      </c>
      <c r="E6" s="10" t="s">
        <v>58</v>
      </c>
      <c r="F6" s="10" t="s">
        <v>34</v>
      </c>
      <c r="G6" s="10" t="s">
        <v>59</v>
      </c>
      <c r="H6" s="10" t="s">
        <v>36</v>
      </c>
      <c r="I6" s="10" t="s">
        <v>55</v>
      </c>
      <c r="J6" s="10" t="s">
        <v>38</v>
      </c>
      <c r="K6" s="11" t="s">
        <v>4</v>
      </c>
      <c r="L6" s="10" t="s">
        <v>60</v>
      </c>
      <c r="M6" s="10" t="s">
        <v>10</v>
      </c>
    </row>
    <row r="7" customFormat="false" ht="46.25" hidden="false" customHeight="false" outlineLevel="0" collapsed="false">
      <c r="A7" s="10" t="s">
        <v>61</v>
      </c>
      <c r="B7" s="10" t="s">
        <v>30</v>
      </c>
      <c r="C7" s="10" t="s">
        <v>31</v>
      </c>
      <c r="D7" s="10" t="s">
        <v>52</v>
      </c>
      <c r="E7" s="10" t="s">
        <v>62</v>
      </c>
      <c r="F7" s="10" t="s">
        <v>34</v>
      </c>
      <c r="G7" s="10" t="s">
        <v>63</v>
      </c>
      <c r="H7" s="10" t="s">
        <v>36</v>
      </c>
      <c r="I7" s="10" t="s">
        <v>55</v>
      </c>
      <c r="J7" s="10" t="s">
        <v>38</v>
      </c>
      <c r="K7" s="11" t="s">
        <v>4</v>
      </c>
      <c r="L7" s="10" t="s">
        <v>64</v>
      </c>
      <c r="M7" s="10" t="s">
        <v>10</v>
      </c>
    </row>
    <row r="8" customFormat="false" ht="46.25" hidden="false" customHeight="false" outlineLevel="0" collapsed="false">
      <c r="A8" s="10" t="s">
        <v>65</v>
      </c>
      <c r="B8" s="10" t="s">
        <v>30</v>
      </c>
      <c r="C8" s="10" t="s">
        <v>31</v>
      </c>
      <c r="D8" s="10" t="s">
        <v>52</v>
      </c>
      <c r="E8" s="10" t="s">
        <v>66</v>
      </c>
      <c r="F8" s="10" t="s">
        <v>34</v>
      </c>
      <c r="G8" s="10" t="s">
        <v>67</v>
      </c>
      <c r="H8" s="10" t="s">
        <v>36</v>
      </c>
      <c r="I8" s="10" t="s">
        <v>55</v>
      </c>
      <c r="J8" s="10" t="s">
        <v>38</v>
      </c>
      <c r="K8" s="11" t="s">
        <v>4</v>
      </c>
      <c r="L8" s="10" t="s">
        <v>68</v>
      </c>
      <c r="M8" s="10" t="s">
        <v>10</v>
      </c>
    </row>
  </sheetData>
  <dataValidations count="1">
    <dataValidation allowBlank="true" errorStyle="stop" operator="between" showDropDown="false" showErrorMessage="false" showInputMessage="false" sqref="K2:K8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44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</v>
      </c>
    </row>
    <row r="2" customFormat="false" ht="46.25" hidden="false" customHeight="false" outlineLevel="0" collapsed="false">
      <c r="A2" s="10" t="s">
        <v>69</v>
      </c>
      <c r="B2" s="10" t="s">
        <v>70</v>
      </c>
      <c r="C2" s="10" t="s">
        <v>71</v>
      </c>
      <c r="D2" s="10" t="s">
        <v>41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38</v>
      </c>
      <c r="K2" s="11" t="s">
        <v>4</v>
      </c>
      <c r="L2" s="10" t="s">
        <v>77</v>
      </c>
      <c r="M2" s="10" t="s">
        <v>12</v>
      </c>
    </row>
    <row r="3" customFormat="false" ht="46.25" hidden="false" customHeight="false" outlineLevel="0" collapsed="false">
      <c r="A3" s="10" t="s">
        <v>78</v>
      </c>
      <c r="B3" s="10" t="s">
        <v>70</v>
      </c>
      <c r="C3" s="10" t="s">
        <v>71</v>
      </c>
      <c r="D3" s="10" t="s">
        <v>41</v>
      </c>
      <c r="E3" s="10" t="s">
        <v>79</v>
      </c>
      <c r="F3" s="10" t="s">
        <v>73</v>
      </c>
      <c r="G3" s="10" t="s">
        <v>80</v>
      </c>
      <c r="H3" s="10" t="s">
        <v>81</v>
      </c>
      <c r="I3" s="10" t="s">
        <v>82</v>
      </c>
      <c r="J3" s="10" t="s">
        <v>38</v>
      </c>
      <c r="K3" s="11" t="s">
        <v>4</v>
      </c>
      <c r="L3" s="10" t="s">
        <v>83</v>
      </c>
      <c r="M3" s="10" t="s">
        <v>12</v>
      </c>
    </row>
    <row r="4" customFormat="false" ht="46.25" hidden="false" customHeight="false" outlineLevel="0" collapsed="false">
      <c r="A4" s="10" t="s">
        <v>84</v>
      </c>
      <c r="B4" s="10" t="s">
        <v>70</v>
      </c>
      <c r="C4" s="10" t="s">
        <v>71</v>
      </c>
      <c r="D4" s="10" t="s">
        <v>41</v>
      </c>
      <c r="E4" s="10" t="s">
        <v>85</v>
      </c>
      <c r="F4" s="10" t="s">
        <v>73</v>
      </c>
      <c r="G4" s="10" t="s">
        <v>86</v>
      </c>
      <c r="H4" s="10" t="s">
        <v>87</v>
      </c>
      <c r="I4" s="10" t="s">
        <v>82</v>
      </c>
      <c r="J4" s="10" t="s">
        <v>38</v>
      </c>
      <c r="K4" s="11" t="s">
        <v>4</v>
      </c>
      <c r="L4" s="10" t="s">
        <v>88</v>
      </c>
      <c r="M4" s="10" t="s">
        <v>12</v>
      </c>
    </row>
    <row r="5" customFormat="false" ht="46.25" hidden="false" customHeight="false" outlineLevel="0" collapsed="false">
      <c r="A5" s="10" t="s">
        <v>89</v>
      </c>
      <c r="B5" s="10" t="s">
        <v>70</v>
      </c>
      <c r="C5" s="10" t="s">
        <v>90</v>
      </c>
      <c r="D5" s="10" t="s">
        <v>41</v>
      </c>
      <c r="E5" s="10" t="s">
        <v>91</v>
      </c>
      <c r="F5" s="10" t="s">
        <v>73</v>
      </c>
      <c r="G5" s="10" t="s">
        <v>92</v>
      </c>
      <c r="H5" s="10" t="s">
        <v>93</v>
      </c>
      <c r="I5" s="10" t="s">
        <v>76</v>
      </c>
      <c r="J5" s="10" t="s">
        <v>38</v>
      </c>
      <c r="K5" s="11" t="s">
        <v>4</v>
      </c>
      <c r="L5" s="10" t="s">
        <v>94</v>
      </c>
      <c r="M5" s="10" t="s">
        <v>12</v>
      </c>
    </row>
    <row r="6" customFormat="false" ht="46.25" hidden="false" customHeight="false" outlineLevel="0" collapsed="false">
      <c r="A6" s="10" t="s">
        <v>95</v>
      </c>
      <c r="B6" s="10" t="s">
        <v>70</v>
      </c>
      <c r="C6" s="10" t="s">
        <v>90</v>
      </c>
      <c r="D6" s="10" t="s">
        <v>41</v>
      </c>
      <c r="E6" s="10" t="s">
        <v>96</v>
      </c>
      <c r="F6" s="10" t="s">
        <v>73</v>
      </c>
      <c r="G6" s="10" t="s">
        <v>97</v>
      </c>
      <c r="H6" s="10" t="s">
        <v>98</v>
      </c>
      <c r="I6" s="10" t="s">
        <v>82</v>
      </c>
      <c r="J6" s="10" t="s">
        <v>38</v>
      </c>
      <c r="K6" s="11" t="s">
        <v>4</v>
      </c>
      <c r="L6" s="10" t="s">
        <v>99</v>
      </c>
      <c r="M6" s="10" t="s">
        <v>12</v>
      </c>
    </row>
    <row r="7" customFormat="false" ht="46.25" hidden="false" customHeight="false" outlineLevel="0" collapsed="false">
      <c r="A7" s="10" t="s">
        <v>100</v>
      </c>
      <c r="B7" s="10" t="s">
        <v>70</v>
      </c>
      <c r="C7" s="10" t="s">
        <v>101</v>
      </c>
      <c r="D7" s="10" t="s">
        <v>41</v>
      </c>
      <c r="E7" s="10" t="s">
        <v>102</v>
      </c>
      <c r="F7" s="10" t="s">
        <v>73</v>
      </c>
      <c r="G7" s="10" t="s">
        <v>103</v>
      </c>
      <c r="H7" s="10" t="s">
        <v>104</v>
      </c>
      <c r="I7" s="10" t="s">
        <v>76</v>
      </c>
      <c r="J7" s="10" t="s">
        <v>38</v>
      </c>
      <c r="K7" s="11" t="s">
        <v>4</v>
      </c>
      <c r="L7" s="10" t="s">
        <v>105</v>
      </c>
      <c r="M7" s="10" t="s">
        <v>12</v>
      </c>
    </row>
    <row r="8" customFormat="false" ht="46.25" hidden="false" customHeight="false" outlineLevel="0" collapsed="false">
      <c r="A8" s="10" t="s">
        <v>106</v>
      </c>
      <c r="B8" s="10" t="s">
        <v>70</v>
      </c>
      <c r="C8" s="10" t="s">
        <v>101</v>
      </c>
      <c r="D8" s="10" t="s">
        <v>41</v>
      </c>
      <c r="E8" s="10" t="s">
        <v>107</v>
      </c>
      <c r="F8" s="10" t="s">
        <v>73</v>
      </c>
      <c r="G8" s="10" t="s">
        <v>108</v>
      </c>
      <c r="H8" s="10" t="s">
        <v>109</v>
      </c>
      <c r="I8" s="10" t="s">
        <v>82</v>
      </c>
      <c r="J8" s="10" t="s">
        <v>38</v>
      </c>
      <c r="K8" s="11" t="s">
        <v>4</v>
      </c>
      <c r="L8" s="10" t="s">
        <v>110</v>
      </c>
      <c r="M8" s="10" t="s">
        <v>12</v>
      </c>
    </row>
    <row r="9" customFormat="false" ht="46.25" hidden="false" customHeight="false" outlineLevel="0" collapsed="false">
      <c r="A9" s="10" t="s">
        <v>111</v>
      </c>
      <c r="B9" s="10" t="s">
        <v>70</v>
      </c>
      <c r="C9" s="10" t="s">
        <v>112</v>
      </c>
      <c r="D9" s="10" t="s">
        <v>41</v>
      </c>
      <c r="E9" s="10" t="s">
        <v>113</v>
      </c>
      <c r="F9" s="10" t="s">
        <v>73</v>
      </c>
      <c r="G9" s="10" t="s">
        <v>114</v>
      </c>
      <c r="H9" s="10" t="s">
        <v>115</v>
      </c>
      <c r="I9" s="10" t="s">
        <v>82</v>
      </c>
      <c r="J9" s="10" t="s">
        <v>38</v>
      </c>
      <c r="K9" s="11" t="s">
        <v>4</v>
      </c>
      <c r="L9" s="10" t="s">
        <v>116</v>
      </c>
      <c r="M9" s="10" t="s">
        <v>12</v>
      </c>
    </row>
  </sheetData>
  <dataValidations count="1">
    <dataValidation allowBlank="true" errorStyle="stop" operator="between" showDropDown="false" showErrorMessage="false" showInputMessage="false" sqref="K2:K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2026-10-23T15:35:00Z</dcterms:created>
  <dc:creator>openpyxl</dc:creator>
  <dc:description/>
  <dc:language>en-US</dc:language>
  <cp:lastModifiedBy/>
  <dcterms:modified xsi:type="dcterms:W3CDTF">2026-10-23T15:35:00Z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